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yoel\ShareFile\Folders\Eyoel Zewdie - Sales\Quotes\ALL\64000-64999\64310\"/>
    </mc:Choice>
  </mc:AlternateContent>
  <bookViews>
    <workbookView xWindow="0" yWindow="0" windowWidth="20490" windowHeight="7755"/>
  </bookViews>
  <sheets>
    <sheet name="64310A1_AK_0822" sheetId="1" r:id="rId1"/>
  </sheets>
  <definedNames>
    <definedName name="Sensor_PCB_Electrochemical_ListByValues" localSheetId="0">'64310A1_AK_0822'!$C$1:$C$19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" i="1" l="1"/>
  <c r="G19" i="1"/>
  <c r="I18" i="1"/>
  <c r="G18" i="1"/>
  <c r="I17" i="1"/>
  <c r="G17" i="1"/>
  <c r="I16" i="1"/>
  <c r="G16" i="1"/>
  <c r="I15" i="1"/>
  <c r="G15" i="1"/>
  <c r="I14" i="1"/>
  <c r="G14" i="1"/>
  <c r="I13" i="1"/>
  <c r="G13" i="1"/>
  <c r="I12" i="1"/>
  <c r="G12" i="1"/>
  <c r="I11" i="1"/>
  <c r="G11" i="1"/>
  <c r="I10" i="1"/>
  <c r="G10" i="1"/>
  <c r="I9" i="1"/>
  <c r="G9" i="1"/>
  <c r="I8" i="1"/>
  <c r="G8" i="1"/>
  <c r="I7" i="1"/>
  <c r="G7" i="1"/>
  <c r="I6" i="1"/>
  <c r="G6" i="1"/>
  <c r="I5" i="1"/>
  <c r="G5" i="1"/>
  <c r="I4" i="1"/>
  <c r="G4" i="1"/>
  <c r="I3" i="1"/>
  <c r="I20" i="1" s="1"/>
  <c r="G3" i="1"/>
  <c r="I2" i="1"/>
</calcChain>
</file>

<file path=xl/connections.xml><?xml version="1.0" encoding="utf-8"?>
<connections xmlns="http://schemas.openxmlformats.org/spreadsheetml/2006/main">
  <connection id="1" name="Sensor_PCB_Electrochemical_ListByValues11" type="6" refreshedVersion="5" background="1" saveData="1">
    <textPr codePage="850" sourceFile="D:\PROJECTS\01_GIT_REPOS\FRA_Sensor_platform\2-Electrical\0 - Development Drawings\4-SensorElChem_board\2-BOM_elchem\Sensor_PCB_Electrochemical_ListByValues.txt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<sst xmlns="http://schemas.openxmlformats.org/spreadsheetml/2006/main" count="82" uniqueCount="57">
  <si>
    <t xml:space="preserve">Item </t>
  </si>
  <si>
    <t>Reference</t>
  </si>
  <si>
    <t>Quantity</t>
  </si>
  <si>
    <t>Production Description_SL</t>
  </si>
  <si>
    <t>Production MFG_SL</t>
  </si>
  <si>
    <t>Production P/N_SL</t>
  </si>
  <si>
    <t>Qty'225</t>
  </si>
  <si>
    <t>_$225</t>
  </si>
  <si>
    <t>Sub Assembly</t>
  </si>
  <si>
    <t>PCB</t>
  </si>
  <si>
    <t>FB9</t>
  </si>
  <si>
    <t>FERRITE BEAD 120 OHM 0603 1LN</t>
  </si>
  <si>
    <t>Murata Manufacturing Co Ltd</t>
  </si>
  <si>
    <t>BLM18PG121SN1D</t>
  </si>
  <si>
    <t>LED1</t>
  </si>
  <si>
    <t>LED GREEN CLEAR 0603 SMD</t>
  </si>
  <si>
    <t>Inolux</t>
  </si>
  <si>
    <t>IN-S63AT5G</t>
  </si>
  <si>
    <t>R22(DNI)</t>
  </si>
  <si>
    <t>DO NOT INSTALL</t>
  </si>
  <si>
    <t>J2</t>
  </si>
  <si>
    <t>CONN HEADER VERT 2POS 2.54MM</t>
  </si>
  <si>
    <t>Samtec Inc</t>
  </si>
  <si>
    <t>TSW-102-07-G-S</t>
  </si>
  <si>
    <t>X1(DNI)</t>
  </si>
  <si>
    <t>R12</t>
  </si>
  <si>
    <t>Bittele stock: RES SMD 10 OHM 1% 1/10W 0603</t>
  </si>
  <si>
    <t>Bittele stock: Vishay Dale</t>
  </si>
  <si>
    <t>Bittele stock: CRCW060310R0FKEA</t>
  </si>
  <si>
    <t>R20, R21</t>
  </si>
  <si>
    <t>Bittele stock: RES SMD 10K OHM 1% 1/10W 0603</t>
  </si>
  <si>
    <t>Bittele stock: CRCW060310K0FKEA</t>
  </si>
  <si>
    <t>R24</t>
  </si>
  <si>
    <t>Bittele stock: RES SMD 100 OHM 1% 1/10W 0603</t>
  </si>
  <si>
    <t>Bittele stock: CRCW0603100RFKEA</t>
  </si>
  <si>
    <t>C2, C9, C12</t>
  </si>
  <si>
    <t>CAP CER 0.1UF 16V X7R 0603</t>
  </si>
  <si>
    <t>Samsung Electro-Mechanics</t>
  </si>
  <si>
    <t>CL10B104KO8NNNC</t>
  </si>
  <si>
    <t>9a</t>
  </si>
  <si>
    <t>C8(DNI)</t>
  </si>
  <si>
    <t>J1</t>
  </si>
  <si>
    <t>CONN HEADER VERT 6POS 2.54MM</t>
  </si>
  <si>
    <t>3M Interconnect</t>
  </si>
  <si>
    <t>30306-6002HB</t>
  </si>
  <si>
    <t>C1</t>
  </si>
  <si>
    <t>JP2(DNI)</t>
  </si>
  <si>
    <t>IC4</t>
  </si>
  <si>
    <t>Sensor AFE System 14-Pin WSON EP T/R</t>
  </si>
  <si>
    <t>Texas Instruments</t>
  </si>
  <si>
    <t>LMP91000SD/NOPB</t>
  </si>
  <si>
    <t>Q1</t>
  </si>
  <si>
    <t>JFET P-CH 30V 0.3W SOT23</t>
  </si>
  <si>
    <t>NXP Semiconductors</t>
  </si>
  <si>
    <t>PMBFJ177,215</t>
  </si>
  <si>
    <t>IC5(DNI)</t>
  </si>
  <si>
    <t>U2(DNI)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</si>
</sst>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_);[Red]\(&quot;$&quot;#,##0\)"/>
    <numFmt numFmtId="165" formatCode="0.00000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5">
    <xf numFmtId="0" fontId="0" fillId="0" borderId="0" xfId="0"/>
    <xf numFmtId="0" fontId="2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4" fontId="3" fillId="2" borderId="1" xfId="0" applyNumberFormat="1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2" xfId="0" applyFont="1" applyFill="1" applyBorder="1"/>
    <xf numFmtId="165" fontId="4" fillId="3" borderId="2" xfId="0" applyNumberFormat="1" applyFont="1" applyFill="1" applyBorder="1"/>
    <xf numFmtId="165" fontId="4" fillId="4" borderId="2" xfId="0" applyNumberFormat="1" applyFont="1" applyFill="1" applyBorder="1"/>
    <xf numFmtId="0" fontId="4" fillId="0" borderId="0" xfId="0" applyFont="1"/>
    <xf numFmtId="0" fontId="4" fillId="3" borderId="2" xfId="0" applyFont="1" applyFill="1" applyBorder="1" applyAlignment="1">
      <alignment horizontal="left"/>
    </xf>
    <xf numFmtId="0" fontId="5" fillId="3" borderId="2" xfId="0" applyFont="1" applyFill="1" applyBorder="1"/>
    <xf numFmtId="0" fontId="4" fillId="3" borderId="2" xfId="0" applyFont="1" applyFill="1" applyBorder="1" applyAlignment="1">
      <alignment horizontal="righ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165" fontId="4" fillId="0" borderId="0" xfId="0" applyNumberFormat="1" applyFo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Sensor_PCB_Electrochemical_ListByValues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5"/>
  <sheetViews>
    <sheetView tabSelected="1" zoomScale="70" zoomScaleNormal="70" workbookViewId="0">
      <selection activeCell="I2" sqref="I2:I3"/>
    </sheetView>
  </sheetViews>
  <sheetFormatPr defaultRowHeight="15" customHeight="1" x14ac:dyDescent="0.2"/>
  <cols>
    <col min="1" max="1" width="9.140625" style="8"/>
    <col min="2" max="2" width="23.5703125" style="12" customWidth="1"/>
    <col min="3" max="3" width="7.7109375" style="13" customWidth="1"/>
    <col min="4" max="4" width="45.42578125" style="8" customWidth="1"/>
    <col min="5" max="5" width="36.28515625" style="8" customWidth="1"/>
    <col min="6" max="6" width="36.42578125" style="8" customWidth="1"/>
    <col min="7" max="9" width="11.28515625" style="8" customWidth="1"/>
    <col min="10" max="10" width="11.140625" style="8" customWidth="1"/>
    <col min="11" max="16384" width="9.140625" style="8"/>
  </cols>
  <sheetData>
    <row r="1" spans="1:10" customFormat="1" ht="15" customHeight="1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>
        <v>225</v>
      </c>
      <c r="I1" s="3" t="s">
        <v>7</v>
      </c>
      <c r="J1" s="2" t="s">
        <v>8</v>
      </c>
    </row>
    <row r="2" spans="1:10" ht="15" customHeight="1" x14ac:dyDescent="0.2">
      <c r="A2" s="4">
        <v>0</v>
      </c>
      <c r="B2" s="5" t="s">
        <v>9</v>
      </c>
      <c r="C2" s="4">
        <v>1</v>
      </c>
      <c r="D2" s="5" t="s">
        <v>9</v>
      </c>
      <c r="E2" s="5" t="s">
        <v>9</v>
      </c>
      <c r="F2" s="5" t="s">
        <v>9</v>
      </c>
      <c r="G2" s="5">
        <v>225</v>
      </c>
      <c r="H2" s="6"/>
      <c r="I2" s="7">
        <f>C2*H2</f>
        <v>0</v>
      </c>
      <c r="J2" s="4">
        <v>0</v>
      </c>
    </row>
    <row r="3" spans="1:10" ht="15" customHeight="1" x14ac:dyDescent="0.2">
      <c r="A3" s="5">
        <v>1</v>
      </c>
      <c r="B3" s="9" t="s">
        <v>10</v>
      </c>
      <c r="C3" s="4">
        <v>1</v>
      </c>
      <c r="D3" s="5" t="s">
        <v>11</v>
      </c>
      <c r="E3" s="5" t="s">
        <v>12</v>
      </c>
      <c r="F3" s="5" t="s">
        <v>13</v>
      </c>
      <c r="G3" s="5">
        <f>C3*200</f>
        <v>200</v>
      </c>
      <c r="H3" s="6">
        <v>4.3299999999999998E-2</v>
      </c>
      <c r="I3" s="7">
        <f>C3*H3</f>
        <v>4.3299999999999998E-2</v>
      </c>
      <c r="J3" s="5">
        <v>1</v>
      </c>
    </row>
    <row r="4" spans="1:10" ht="15" customHeight="1" x14ac:dyDescent="0.2">
      <c r="A4" s="5">
        <v>2</v>
      </c>
      <c r="B4" s="9" t="s">
        <v>14</v>
      </c>
      <c r="C4" s="4">
        <v>1</v>
      </c>
      <c r="D4" s="5" t="s">
        <v>15</v>
      </c>
      <c r="E4" s="5" t="s">
        <v>16</v>
      </c>
      <c r="F4" s="5" t="s">
        <v>17</v>
      </c>
      <c r="G4" s="5">
        <f>C4*200</f>
        <v>200</v>
      </c>
      <c r="H4" s="6">
        <v>0.16689999999999999</v>
      </c>
      <c r="I4" s="7">
        <f>C4*H4</f>
        <v>0.16689999999999999</v>
      </c>
      <c r="J4" s="5">
        <v>2</v>
      </c>
    </row>
    <row r="5" spans="1:10" ht="15" customHeight="1" x14ac:dyDescent="0.2">
      <c r="A5" s="5">
        <v>3</v>
      </c>
      <c r="B5" s="9" t="s">
        <v>18</v>
      </c>
      <c r="C5" s="4">
        <v>0</v>
      </c>
      <c r="D5" s="10" t="s">
        <v>19</v>
      </c>
      <c r="E5" s="10" t="s">
        <v>19</v>
      </c>
      <c r="F5" s="10" t="s">
        <v>19</v>
      </c>
      <c r="G5" s="5">
        <f>C5*200</f>
        <v>0</v>
      </c>
      <c r="H5" s="6"/>
      <c r="I5" s="7">
        <f>C5*H5</f>
        <v>0</v>
      </c>
      <c r="J5" s="5">
        <v>3</v>
      </c>
    </row>
    <row r="6" spans="1:10" ht="15" customHeight="1" x14ac:dyDescent="0.2">
      <c r="A6" s="5">
        <v>4</v>
      </c>
      <c r="B6" s="9" t="s">
        <v>20</v>
      </c>
      <c r="C6" s="4">
        <v>1</v>
      </c>
      <c r="D6" s="5" t="s">
        <v>21</v>
      </c>
      <c r="E6" s="5" t="s">
        <v>22</v>
      </c>
      <c r="F6" s="5" t="s">
        <v>23</v>
      </c>
      <c r="G6" s="5">
        <f>C6*200</f>
        <v>200</v>
      </c>
      <c r="H6" s="6">
        <v>0.1772</v>
      </c>
      <c r="I6" s="7">
        <f>C6*H6</f>
        <v>0.1772</v>
      </c>
      <c r="J6" s="5">
        <v>4</v>
      </c>
    </row>
    <row r="7" spans="1:10" ht="15" customHeight="1" x14ac:dyDescent="0.2">
      <c r="A7" s="5">
        <v>5</v>
      </c>
      <c r="B7" s="9" t="s">
        <v>24</v>
      </c>
      <c r="C7" s="4">
        <v>0</v>
      </c>
      <c r="D7" s="10" t="s">
        <v>19</v>
      </c>
      <c r="E7" s="10" t="s">
        <v>19</v>
      </c>
      <c r="F7" s="10" t="s">
        <v>19</v>
      </c>
      <c r="G7" s="5">
        <f>C7*200</f>
        <v>0</v>
      </c>
      <c r="H7" s="6"/>
      <c r="I7" s="7">
        <f>C7*H7</f>
        <v>0</v>
      </c>
      <c r="J7" s="5">
        <v>5</v>
      </c>
    </row>
    <row r="8" spans="1:10" ht="15" customHeight="1" x14ac:dyDescent="0.2">
      <c r="A8" s="5">
        <v>6</v>
      </c>
      <c r="B8" s="9" t="s">
        <v>25</v>
      </c>
      <c r="C8" s="4">
        <v>1</v>
      </c>
      <c r="D8" s="5" t="s">
        <v>26</v>
      </c>
      <c r="E8" s="5" t="s">
        <v>27</v>
      </c>
      <c r="F8" s="5" t="s">
        <v>28</v>
      </c>
      <c r="G8" s="5">
        <f>C8*200</f>
        <v>200</v>
      </c>
      <c r="H8" s="6"/>
      <c r="I8" s="7">
        <f>C8*H8</f>
        <v>0</v>
      </c>
      <c r="J8" s="5">
        <v>6</v>
      </c>
    </row>
    <row r="9" spans="1:10" ht="15" customHeight="1" x14ac:dyDescent="0.2">
      <c r="A9" s="5">
        <v>7</v>
      </c>
      <c r="B9" s="9" t="s">
        <v>29</v>
      </c>
      <c r="C9" s="4">
        <v>2</v>
      </c>
      <c r="D9" s="5" t="s">
        <v>30</v>
      </c>
      <c r="E9" s="5" t="s">
        <v>27</v>
      </c>
      <c r="F9" s="5" t="s">
        <v>31</v>
      </c>
      <c r="G9" s="5">
        <f>C9*200</f>
        <v>400</v>
      </c>
      <c r="H9" s="6"/>
      <c r="I9" s="7">
        <f>C9*H9</f>
        <v>0</v>
      </c>
      <c r="J9" s="5">
        <v>7</v>
      </c>
    </row>
    <row r="10" spans="1:10" ht="15" customHeight="1" x14ac:dyDescent="0.2">
      <c r="A10" s="5">
        <v>8</v>
      </c>
      <c r="B10" s="9" t="s">
        <v>32</v>
      </c>
      <c r="C10" s="4">
        <v>1</v>
      </c>
      <c r="D10" s="5" t="s">
        <v>33</v>
      </c>
      <c r="E10" s="5" t="s">
        <v>27</v>
      </c>
      <c r="F10" s="5" t="s">
        <v>34</v>
      </c>
      <c r="G10" s="5">
        <f>C10*200</f>
        <v>200</v>
      </c>
      <c r="H10" s="6"/>
      <c r="I10" s="7">
        <f>C10*H10</f>
        <v>0</v>
      </c>
      <c r="J10" s="5">
        <v>8</v>
      </c>
    </row>
    <row r="11" spans="1:10" ht="15" customHeight="1" x14ac:dyDescent="0.2">
      <c r="A11" s="5">
        <v>9</v>
      </c>
      <c r="B11" s="9" t="s">
        <v>35</v>
      </c>
      <c r="C11" s="4">
        <v>3</v>
      </c>
      <c r="D11" s="5" t="s">
        <v>36</v>
      </c>
      <c r="E11" s="5" t="s">
        <v>37</v>
      </c>
      <c r="F11" s="5" t="s">
        <v>38</v>
      </c>
      <c r="G11" s="5">
        <f>C11*200</f>
        <v>600</v>
      </c>
      <c r="H11" s="6">
        <v>9.2999999999999992E-3</v>
      </c>
      <c r="I11" s="7">
        <f>C11*H11</f>
        <v>2.7899999999999998E-2</v>
      </c>
      <c r="J11" s="5">
        <v>9</v>
      </c>
    </row>
    <row r="12" spans="1:10" ht="15" customHeight="1" x14ac:dyDescent="0.2">
      <c r="A12" s="11" t="s">
        <v>39</v>
      </c>
      <c r="B12" s="9" t="s">
        <v>40</v>
      </c>
      <c r="C12" s="4">
        <v>1</v>
      </c>
      <c r="D12" s="10" t="s">
        <v>19</v>
      </c>
      <c r="E12" s="10" t="s">
        <v>19</v>
      </c>
      <c r="F12" s="10" t="s">
        <v>19</v>
      </c>
      <c r="G12" s="5">
        <f>C12*200</f>
        <v>200</v>
      </c>
      <c r="H12" s="6"/>
      <c r="I12" s="7">
        <f>C12*H12</f>
        <v>0</v>
      </c>
      <c r="J12" s="5">
        <v>10</v>
      </c>
    </row>
    <row r="13" spans="1:10" ht="15" customHeight="1" x14ac:dyDescent="0.2">
      <c r="A13" s="5">
        <v>10</v>
      </c>
      <c r="B13" s="9" t="s">
        <v>41</v>
      </c>
      <c r="C13" s="4">
        <v>1</v>
      </c>
      <c r="D13" s="5" t="s">
        <v>42</v>
      </c>
      <c r="E13" s="5" t="s">
        <v>43</v>
      </c>
      <c r="F13" s="5" t="s">
        <v>44</v>
      </c>
      <c r="G13" s="5">
        <f>C13*200</f>
        <v>200</v>
      </c>
      <c r="H13" s="6">
        <v>0.48299999999999998</v>
      </c>
      <c r="I13" s="7">
        <f>C13*H13</f>
        <v>0.48299999999999998</v>
      </c>
      <c r="J13" s="5">
        <v>11</v>
      </c>
    </row>
    <row r="14" spans="1:10" ht="15" customHeight="1" x14ac:dyDescent="0.2">
      <c r="A14" s="5">
        <v>11</v>
      </c>
      <c r="B14" s="9" t="s">
        <v>45</v>
      </c>
      <c r="C14" s="4">
        <v>0</v>
      </c>
      <c r="D14" s="10" t="s">
        <v>19</v>
      </c>
      <c r="E14" s="10" t="s">
        <v>19</v>
      </c>
      <c r="F14" s="10" t="s">
        <v>19</v>
      </c>
      <c r="G14" s="5">
        <f>C14*200</f>
        <v>0</v>
      </c>
      <c r="H14" s="6"/>
      <c r="I14" s="7">
        <f>C14*H14</f>
        <v>0</v>
      </c>
      <c r="J14" s="5">
        <v>12</v>
      </c>
    </row>
    <row r="15" spans="1:10" ht="15" customHeight="1" x14ac:dyDescent="0.2">
      <c r="A15" s="5">
        <v>12</v>
      </c>
      <c r="B15" s="9" t="s">
        <v>46</v>
      </c>
      <c r="C15" s="4">
        <v>0</v>
      </c>
      <c r="D15" s="10" t="s">
        <v>19</v>
      </c>
      <c r="E15" s="10" t="s">
        <v>19</v>
      </c>
      <c r="F15" s="10" t="s">
        <v>19</v>
      </c>
      <c r="G15" s="5">
        <f>C15*200</f>
        <v>0</v>
      </c>
      <c r="H15" s="6"/>
      <c r="I15" s="7">
        <f>C15*H15</f>
        <v>0</v>
      </c>
      <c r="J15" s="5">
        <v>13</v>
      </c>
    </row>
    <row r="16" spans="1:10" ht="15" customHeight="1" x14ac:dyDescent="0.2">
      <c r="A16" s="5">
        <v>13</v>
      </c>
      <c r="B16" s="9" t="s">
        <v>47</v>
      </c>
      <c r="C16" s="4">
        <v>1</v>
      </c>
      <c r="D16" s="5" t="s">
        <v>48</v>
      </c>
      <c r="E16" s="5" t="s">
        <v>49</v>
      </c>
      <c r="F16" s="5" t="s">
        <v>50</v>
      </c>
      <c r="G16" s="5">
        <f>C16*200</f>
        <v>200</v>
      </c>
      <c r="H16" s="6">
        <v>3.0430000000000001</v>
      </c>
      <c r="I16" s="7">
        <f>C16*H16</f>
        <v>3.0430000000000001</v>
      </c>
      <c r="J16" s="5">
        <v>14</v>
      </c>
    </row>
    <row r="17" spans="1:10" ht="15" customHeight="1" x14ac:dyDescent="0.2">
      <c r="A17" s="5">
        <v>14</v>
      </c>
      <c r="B17" s="9" t="s">
        <v>51</v>
      </c>
      <c r="C17" s="4">
        <v>1</v>
      </c>
      <c r="D17" s="5" t="s">
        <v>52</v>
      </c>
      <c r="E17" s="5" t="s">
        <v>53</v>
      </c>
      <c r="F17" s="5" t="s">
        <v>54</v>
      </c>
      <c r="G17" s="5">
        <f>C17*200</f>
        <v>200</v>
      </c>
      <c r="H17" s="6">
        <v>0.30180000000000001</v>
      </c>
      <c r="I17" s="7">
        <f>C17*H17</f>
        <v>0.30180000000000001</v>
      </c>
      <c r="J17" s="5">
        <v>15</v>
      </c>
    </row>
    <row r="18" spans="1:10" ht="15" customHeight="1" x14ac:dyDescent="0.2">
      <c r="A18" s="5">
        <v>15</v>
      </c>
      <c r="B18" s="9" t="s">
        <v>55</v>
      </c>
      <c r="C18" s="4">
        <v>0</v>
      </c>
      <c r="D18" s="10" t="s">
        <v>19</v>
      </c>
      <c r="E18" s="10" t="s">
        <v>19</v>
      </c>
      <c r="F18" s="10" t="s">
        <v>19</v>
      </c>
      <c r="G18" s="5">
        <f>C18*200</f>
        <v>0</v>
      </c>
      <c r="H18" s="6"/>
      <c r="I18" s="7">
        <f>C18*H18</f>
        <v>0</v>
      </c>
      <c r="J18" s="5">
        <v>16</v>
      </c>
    </row>
    <row r="19" spans="1:10" ht="15" customHeight="1" x14ac:dyDescent="0.2">
      <c r="A19" s="5">
        <v>16</v>
      </c>
      <c r="B19" s="9" t="s">
        <v>56</v>
      </c>
      <c r="C19" s="4">
        <v>0</v>
      </c>
      <c r="D19" s="10" t="s">
        <v>19</v>
      </c>
      <c r="E19" s="10" t="s">
        <v>19</v>
      </c>
      <c r="F19" s="10" t="s">
        <v>19</v>
      </c>
      <c r="G19" s="5">
        <f>C19*200</f>
        <v>0</v>
      </c>
      <c r="H19" s="6"/>
      <c r="I19" s="7">
        <f>C19*H19</f>
        <v>0</v>
      </c>
      <c r="J19" s="5">
        <v>17</v>
      </c>
    </row>
    <row r="20" spans="1:10" ht="15" customHeight="1" x14ac:dyDescent="0.25">
      <c r="G20"/>
      <c r="H20"/>
      <c r="I20" s="14">
        <f>SUM(I3:I19)</f>
        <v>4.2431000000000001</v>
      </c>
    </row>
    <row r="21" spans="1:10" ht="15" customHeight="1" x14ac:dyDescent="0.25">
      <c r="G21"/>
      <c r="H21"/>
      <c r="I21"/>
      <c r="J21"/>
    </row>
    <row r="22" spans="1:10" ht="15" customHeight="1" x14ac:dyDescent="0.25">
      <c r="G22"/>
      <c r="H22"/>
      <c r="I22"/>
      <c r="J22"/>
    </row>
    <row r="23" spans="1:10" ht="15" customHeight="1" x14ac:dyDescent="0.25">
      <c r="G23"/>
      <c r="H23"/>
      <c r="I23"/>
      <c r="J23"/>
    </row>
    <row r="24" spans="1:10" ht="15" customHeight="1" x14ac:dyDescent="0.25">
      <c r="G24"/>
      <c r="H24"/>
      <c r="I24"/>
      <c r="J24"/>
    </row>
    <row r="25" spans="1:10" ht="15" customHeight="1" x14ac:dyDescent="0.25">
      <c r="G25"/>
      <c r="H25"/>
      <c r="I25"/>
      <c r="J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64310A1_AK_0822</vt:lpstr>
      <vt:lpstr>'64310A1_AK_0822'!Sensor_PCB_Electrochemical_ListByValues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Eyoel</dc:creator>
  <cp:lastModifiedBy>Eyoel</cp:lastModifiedBy>
  <dcterms:created xsi:type="dcterms:W3CDTF">2019-08-23T21:44:48Z</dcterms:created>
  <dcterms:modified xsi:type="dcterms:W3CDTF">2019-08-23T21:45:20Z</dcterms:modified>
</cp:coreProperties>
</file>